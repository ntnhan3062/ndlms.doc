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VN\Desktop\CK1\"/>
    </mc:Choice>
  </mc:AlternateContent>
  <xr:revisionPtr revIDLastSave="0" documentId="13_ncr:1_{D0F98436-683B-4361-B1D5-CDF746838DB6}" xr6:coauthVersionLast="47" xr6:coauthVersionMax="47" xr10:uidLastSave="{00000000-0000-0000-0000-000000000000}"/>
  <bookViews>
    <workbookView xWindow="-120" yWindow="-120" windowWidth="20730" windowHeight="11760" xr2:uid="{324F57A2-5D0C-444A-8329-E250FA6884A4}"/>
  </bookViews>
  <sheets>
    <sheet name="Câu 1 - 6" sheetId="1" r:id="rId1"/>
    <sheet name="Câu 7 - 8" sheetId="2" r:id="rId2"/>
    <sheet name="Câu 9" sheetId="3" r:id="rId3"/>
  </sheets>
  <definedNames>
    <definedName name="_xlnm._FilterDatabase" localSheetId="0" hidden="1">'Câu 1 - 6'!$A$3:$G$14</definedName>
    <definedName name="_xlnm._FilterDatabase" localSheetId="1" hidden="1">'Câu 7 - 8'!$A$3:$G$14</definedName>
    <definedName name="_xlnm._FilterDatabase" localSheetId="2" hidden="1">'Câu 9'!$A$3:$G$14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F11" i="1" s="1"/>
  <c r="E12" i="1"/>
  <c r="F12" i="1" s="1"/>
  <c r="E13" i="1"/>
  <c r="E4" i="1"/>
  <c r="D14" i="3"/>
  <c r="E13" i="3"/>
  <c r="E12" i="3"/>
  <c r="F12" i="3" s="1"/>
  <c r="G12" i="3" s="1"/>
  <c r="E11" i="3"/>
  <c r="F11" i="3" s="1"/>
  <c r="G11" i="3" s="1"/>
  <c r="E10" i="3"/>
  <c r="E9" i="3"/>
  <c r="E8" i="3"/>
  <c r="F8" i="3" s="1"/>
  <c r="G8" i="3" s="1"/>
  <c r="E7" i="3"/>
  <c r="F7" i="3" s="1"/>
  <c r="G7" i="3" s="1"/>
  <c r="E6" i="3"/>
  <c r="F6" i="3" s="1"/>
  <c r="E5" i="3"/>
  <c r="E4" i="3"/>
  <c r="F4" i="3" s="1"/>
  <c r="D14" i="2"/>
  <c r="E13" i="2"/>
  <c r="E12" i="2"/>
  <c r="F12" i="2" s="1"/>
  <c r="E11" i="2"/>
  <c r="F11" i="2" s="1"/>
  <c r="G11" i="2" s="1"/>
  <c r="E10" i="2"/>
  <c r="E9" i="2"/>
  <c r="F9" i="2" s="1"/>
  <c r="E8" i="2"/>
  <c r="E7" i="2"/>
  <c r="F7" i="2" s="1"/>
  <c r="E6" i="2"/>
  <c r="F6" i="2" s="1"/>
  <c r="G6" i="2" s="1"/>
  <c r="E5" i="2"/>
  <c r="F5" i="2" s="1"/>
  <c r="E4" i="2"/>
  <c r="D14" i="1"/>
  <c r="G9" i="1" l="1"/>
  <c r="G4" i="1"/>
  <c r="G6" i="1"/>
  <c r="G13" i="1"/>
  <c r="G5" i="1"/>
  <c r="F10" i="1"/>
  <c r="G10" i="1" s="1"/>
  <c r="G12" i="1"/>
  <c r="F9" i="1"/>
  <c r="G11" i="1"/>
  <c r="F8" i="1"/>
  <c r="G8" i="1" s="1"/>
  <c r="F7" i="1"/>
  <c r="G7" i="1" s="1"/>
  <c r="F4" i="1"/>
  <c r="F6" i="1"/>
  <c r="F13" i="1"/>
  <c r="F5" i="1"/>
  <c r="E14" i="3"/>
  <c r="G4" i="3"/>
  <c r="F10" i="3"/>
  <c r="G10" i="3" s="1"/>
  <c r="F5" i="3"/>
  <c r="F13" i="3"/>
  <c r="G13" i="3" s="1"/>
  <c r="G6" i="3"/>
  <c r="F9" i="3"/>
  <c r="G9" i="3" s="1"/>
  <c r="G13" i="2"/>
  <c r="G12" i="2"/>
  <c r="F4" i="2"/>
  <c r="G9" i="2"/>
  <c r="G7" i="2"/>
  <c r="F10" i="2"/>
  <c r="G10" i="2" s="1"/>
  <c r="F13" i="2"/>
  <c r="G5" i="2"/>
  <c r="F8" i="2"/>
  <c r="G8" i="2" s="1"/>
  <c r="E14" i="2"/>
  <c r="E14" i="1"/>
  <c r="F14" i="2" l="1"/>
  <c r="F14" i="3"/>
  <c r="G5" i="3"/>
  <c r="G14" i="3" s="1"/>
  <c r="G4" i="2"/>
  <c r="G14" i="2" s="1"/>
  <c r="F14" i="1"/>
  <c r="G14" i="1"/>
</calcChain>
</file>

<file path=xl/sharedStrings.xml><?xml version="1.0" encoding="utf-8"?>
<sst xmlns="http://schemas.openxmlformats.org/spreadsheetml/2006/main" count="60" uniqueCount="20">
  <si>
    <t>STT</t>
  </si>
  <si>
    <t>TRUNG TÂM THƯƠNG MẠI</t>
  </si>
  <si>
    <t>Thuế:</t>
  </si>
  <si>
    <t>Tên hàng</t>
  </si>
  <si>
    <t>Đơn giá (nghìn)</t>
  </si>
  <si>
    <t>Số lượng</t>
  </si>
  <si>
    <t>Thành tiền</t>
  </si>
  <si>
    <t>Tiền thuế</t>
  </si>
  <si>
    <t>Tiền còn lại</t>
  </si>
  <si>
    <t>Quần áo</t>
  </si>
  <si>
    <t>Giày dép</t>
  </si>
  <si>
    <t>Nước hoa</t>
  </si>
  <si>
    <t>Nước giặt</t>
  </si>
  <si>
    <t>Nước xả</t>
  </si>
  <si>
    <t>Nón</t>
  </si>
  <si>
    <t>Áo khoác</t>
  </si>
  <si>
    <t>Kẹp tóc</t>
  </si>
  <si>
    <t>Dầu gội</t>
  </si>
  <si>
    <t>Sữa tắm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</si>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</sst>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theme="1"/>
      <name val="Times New Roman"/>
      <family val="2"/>
      <charset val="163"/>
    </font>
    <font>
      <b/>
      <sz val="14"/>
      <color rgb="FF002060"/>
      <name val="Times New Roman"/>
      <family val="1"/>
    </font>
    <font>
      <b/>
      <i/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22"/>
      <color rgb="FFC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9" fontId="2" fillId="0" borderId="0" xfId="0" applyNumberFormat="1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E4D6"/>
      <color rgb="FFFF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'Câu 1 - 6'!$D$3</c:f>
              <c:strCache>
                <c:ptCount val="1"/>
                <c:pt idx="0">
                  <c:v>Số lượng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'Câu 1 - 6'!$B$4:$B$13</c:f>
              <c:strCache>
                <c:ptCount val="10"/>
                <c:pt idx="0">
                  <c:v>Quần áo</c:v>
                </c:pt>
                <c:pt idx="1">
                  <c:v>Nước hoa</c:v>
                </c:pt>
                <c:pt idx="2">
                  <c:v>Giày dép</c:v>
                </c:pt>
                <c:pt idx="3">
                  <c:v>Áo khoác</c:v>
                </c:pt>
                <c:pt idx="4">
                  <c:v>Dầu gội</c:v>
                </c:pt>
                <c:pt idx="5">
                  <c:v>Nước xả</c:v>
                </c:pt>
                <c:pt idx="6">
                  <c:v>Sữa tắm</c:v>
                </c:pt>
                <c:pt idx="7">
                  <c:v>Nước giặt</c:v>
                </c:pt>
                <c:pt idx="8">
                  <c:v>Nón</c:v>
                </c:pt>
                <c:pt idx="9">
                  <c:v>Kẹp tóc</c:v>
                </c:pt>
              </c:strCache>
            </c:strRef>
          </c:cat>
          <c:val>
            <c:numRef>
              <c:f>'Câu 1 - 6'!$D$4:$D$13</c:f>
              <c:numCache>
                <c:formatCode>General</c:formatCode>
                <c:ptCount val="10"/>
                <c:pt idx="0">
                  <c:v>1000</c:v>
                </c:pt>
                <c:pt idx="1">
                  <c:v>550</c:v>
                </c:pt>
                <c:pt idx="2">
                  <c:v>1550</c:v>
                </c:pt>
                <c:pt idx="3">
                  <c:v>700</c:v>
                </c:pt>
                <c:pt idx="4">
                  <c:v>950</c:v>
                </c:pt>
                <c:pt idx="5">
                  <c:v>780</c:v>
                </c:pt>
                <c:pt idx="6">
                  <c:v>900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2-49AE-8CFE-35C88E492B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0297256"/>
        <c:axId val="533330640"/>
      </c:barChart>
      <c:catAx>
        <c:axId val="40029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30640"/>
        <c:crosses val="autoZero"/>
        <c:auto val="1"/>
        <c:lblAlgn val="ctr"/>
        <c:lblOffset val="100"/>
        <c:noMultiLvlLbl val="0"/>
      </c:catAx>
      <c:valAx>
        <c:axId val="5333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297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235321</xdr:rowOff>
    </xdr:from>
    <xdr:to>
      <xdr:col>6</xdr:col>
      <xdr:colOff>994476</xdr:colOff>
      <xdr:row>34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31395F-1838-47BA-A793-8F75622DC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A4D6-03B5-4779-A26D-9B7E0B0881A9}">
  <dimension ref="A1:G14"/>
  <sheetViews>
    <sheetView tabSelected="1" zoomScale="85" zoomScaleNormal="85" workbookViewId="0">
      <selection activeCell="L13" sqref="L13"/>
    </sheetView>
  </sheetViews>
  <sheetFormatPr defaultRowHeight="18.75" x14ac:dyDescent="0.3"/>
  <cols>
    <col min="1" max="1" width="6.77734375" customWidth="1"/>
    <col min="2" max="2" width="12.77734375" customWidth="1"/>
    <col min="3" max="3" width="15.21875" bestFit="1" customWidth="1"/>
    <col min="4" max="4" width="20.33203125" customWidth="1"/>
    <col min="5" max="5" width="14.109375" customWidth="1"/>
    <col min="6" max="6" width="10.5546875" customWidth="1"/>
    <col min="7" max="7" width="11.6640625" bestFit="1" customWidth="1"/>
  </cols>
  <sheetData>
    <row r="1" spans="1:7" ht="27" x14ac:dyDescent="0.3">
      <c r="A1" s="9" t="s">
        <v>1</v>
      </c>
      <c r="B1" s="9"/>
      <c r="C1" s="9"/>
      <c r="D1" s="9"/>
      <c r="E1" s="9"/>
      <c r="F1" s="9"/>
      <c r="G1" s="9"/>
    </row>
    <row r="2" spans="1:7" ht="19.5" x14ac:dyDescent="0.3">
      <c r="A2" s="1"/>
      <c r="B2" s="1"/>
      <c r="C2" s="1"/>
      <c r="D2" s="2" t="s">
        <v>2</v>
      </c>
      <c r="E2" s="3">
        <v>0.1</v>
      </c>
      <c r="F2" s="1"/>
      <c r="G2" s="1"/>
    </row>
    <row r="3" spans="1:7" x14ac:dyDescent="0.3">
      <c r="A3" s="7" t="s">
        <v>0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8" t="s">
        <v>8</v>
      </c>
    </row>
    <row r="4" spans="1:7" x14ac:dyDescent="0.3">
      <c r="A4" s="5">
        <v>1</v>
      </c>
      <c r="B4" s="4" t="s">
        <v>9</v>
      </c>
      <c r="C4" s="5">
        <v>450</v>
      </c>
      <c r="D4" s="5">
        <v>1000</v>
      </c>
      <c r="E4" s="5">
        <f>D4*C4</f>
        <v>450000</v>
      </c>
      <c r="F4" s="5">
        <f>E4*$E$2</f>
        <v>45000</v>
      </c>
      <c r="G4" s="5">
        <f>E4-F4</f>
        <v>405000</v>
      </c>
    </row>
    <row r="5" spans="1:7" x14ac:dyDescent="0.3">
      <c r="A5" s="5">
        <v>3</v>
      </c>
      <c r="B5" s="4" t="s">
        <v>11</v>
      </c>
      <c r="C5" s="5">
        <v>800</v>
      </c>
      <c r="D5" s="5">
        <v>550</v>
      </c>
      <c r="E5" s="5">
        <f t="shared" ref="E5:E13" si="0">D5*C5</f>
        <v>440000</v>
      </c>
      <c r="F5" s="5">
        <f t="shared" ref="F5:F13" si="1">E5*$E$2</f>
        <v>44000</v>
      </c>
      <c r="G5" s="5">
        <f t="shared" ref="G5:G13" si="2">E5-F5</f>
        <v>396000</v>
      </c>
    </row>
    <row r="6" spans="1:7" x14ac:dyDescent="0.3">
      <c r="A6" s="5">
        <v>2</v>
      </c>
      <c r="B6" s="4" t="s">
        <v>10</v>
      </c>
      <c r="C6" s="5">
        <v>250</v>
      </c>
      <c r="D6" s="5">
        <v>1550</v>
      </c>
      <c r="E6" s="5">
        <f t="shared" si="0"/>
        <v>387500</v>
      </c>
      <c r="F6" s="5">
        <f t="shared" si="1"/>
        <v>38750</v>
      </c>
      <c r="G6" s="5">
        <f t="shared" si="2"/>
        <v>348750</v>
      </c>
    </row>
    <row r="7" spans="1:7" x14ac:dyDescent="0.3">
      <c r="A7" s="5">
        <v>7</v>
      </c>
      <c r="B7" s="4" t="s">
        <v>15</v>
      </c>
      <c r="C7" s="5">
        <v>350</v>
      </c>
      <c r="D7" s="5">
        <v>700</v>
      </c>
      <c r="E7" s="5">
        <f t="shared" si="0"/>
        <v>245000</v>
      </c>
      <c r="F7" s="5">
        <f t="shared" si="1"/>
        <v>24500</v>
      </c>
      <c r="G7" s="5">
        <f t="shared" si="2"/>
        <v>220500</v>
      </c>
    </row>
    <row r="8" spans="1:7" x14ac:dyDescent="0.3">
      <c r="A8" s="5">
        <v>9</v>
      </c>
      <c r="B8" s="4" t="s">
        <v>17</v>
      </c>
      <c r="C8" s="5">
        <v>250</v>
      </c>
      <c r="D8" s="5">
        <v>950</v>
      </c>
      <c r="E8" s="5">
        <f t="shared" si="0"/>
        <v>237500</v>
      </c>
      <c r="F8" s="5">
        <f t="shared" si="1"/>
        <v>23750</v>
      </c>
      <c r="G8" s="5">
        <f t="shared" si="2"/>
        <v>213750</v>
      </c>
    </row>
    <row r="9" spans="1:7" x14ac:dyDescent="0.3">
      <c r="A9" s="5">
        <v>5</v>
      </c>
      <c r="B9" s="4" t="s">
        <v>13</v>
      </c>
      <c r="C9" s="5">
        <v>260</v>
      </c>
      <c r="D9" s="5">
        <v>780</v>
      </c>
      <c r="E9" s="5">
        <f t="shared" si="0"/>
        <v>202800</v>
      </c>
      <c r="F9" s="5">
        <f t="shared" si="1"/>
        <v>20280</v>
      </c>
      <c r="G9" s="5">
        <f t="shared" si="2"/>
        <v>182520</v>
      </c>
    </row>
    <row r="10" spans="1:7" x14ac:dyDescent="0.3">
      <c r="A10" s="5">
        <v>10</v>
      </c>
      <c r="B10" s="4" t="s">
        <v>18</v>
      </c>
      <c r="C10" s="5">
        <v>210</v>
      </c>
      <c r="D10" s="5">
        <v>900</v>
      </c>
      <c r="E10" s="5">
        <f t="shared" si="0"/>
        <v>189000</v>
      </c>
      <c r="F10" s="5">
        <f t="shared" si="1"/>
        <v>18900</v>
      </c>
      <c r="G10" s="5">
        <f t="shared" si="2"/>
        <v>170100</v>
      </c>
    </row>
    <row r="11" spans="1:7" x14ac:dyDescent="0.3">
      <c r="A11" s="5">
        <v>4</v>
      </c>
      <c r="B11" s="4" t="s">
        <v>12</v>
      </c>
      <c r="C11" s="5">
        <v>200</v>
      </c>
      <c r="D11" s="5">
        <v>800</v>
      </c>
      <c r="E11" s="5">
        <f t="shared" si="0"/>
        <v>160000</v>
      </c>
      <c r="F11" s="5">
        <f t="shared" si="1"/>
        <v>16000</v>
      </c>
      <c r="G11" s="5">
        <f t="shared" si="2"/>
        <v>144000</v>
      </c>
    </row>
    <row r="12" spans="1:7" x14ac:dyDescent="0.3">
      <c r="A12" s="5">
        <v>6</v>
      </c>
      <c r="B12" s="4" t="s">
        <v>14</v>
      </c>
      <c r="C12" s="5">
        <v>150</v>
      </c>
      <c r="D12" s="5">
        <v>900</v>
      </c>
      <c r="E12" s="5">
        <f t="shared" si="0"/>
        <v>135000</v>
      </c>
      <c r="F12" s="5">
        <f t="shared" si="1"/>
        <v>13500</v>
      </c>
      <c r="G12" s="5">
        <f t="shared" si="2"/>
        <v>121500</v>
      </c>
    </row>
    <row r="13" spans="1:7" x14ac:dyDescent="0.3">
      <c r="A13" s="5">
        <v>8</v>
      </c>
      <c r="B13" s="4" t="s">
        <v>16</v>
      </c>
      <c r="C13" s="5">
        <v>70</v>
      </c>
      <c r="D13" s="5">
        <v>1000</v>
      </c>
      <c r="E13" s="5">
        <f t="shared" si="0"/>
        <v>70000</v>
      </c>
      <c r="F13" s="5">
        <f t="shared" si="1"/>
        <v>7000</v>
      </c>
      <c r="G13" s="5">
        <f t="shared" si="2"/>
        <v>63000</v>
      </c>
    </row>
    <row r="14" spans="1:7" x14ac:dyDescent="0.3">
      <c r="A14" s="10" t="s">
        <v>19</v>
      </c>
      <c r="B14" s="10"/>
      <c r="C14" s="10"/>
      <c r="D14" s="6">
        <f>SUM(D4:D13)</f>
        <v>9130</v>
      </c>
      <c r="E14" s="6">
        <f t="shared" ref="E14:G14" si="3">SUM(E4:E13)</f>
        <v>2516800</v>
      </c>
      <c r="F14" s="6">
        <f t="shared" si="3"/>
        <v>251680</v>
      </c>
      <c r="G14" s="6">
        <f t="shared" si="3"/>
        <v>2265120</v>
      </c>
    </row>
  </sheetData>
  <sortState xmlns:xlrd2="http://schemas.microsoft.com/office/spreadsheetml/2017/richdata2" ref="A4:G13">
    <sortCondition descending="1" ref="E4:E13"/>
  </sortState>
  <mergeCells count="2">
    <mergeCell ref="A1:G1"/>
    <mergeCell ref="A14:C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1E32-532F-42E2-B770-66215DED21E9}">
  <sheetPr filterMode="1"/>
  <dimension ref="A1:G14"/>
  <sheetViews>
    <sheetView zoomScale="85" zoomScaleNormal="85" workbookViewId="0">
      <selection sqref="A1:G1"/>
    </sheetView>
  </sheetViews>
  <sheetFormatPr defaultRowHeight="18.75" x14ac:dyDescent="0.3"/>
  <cols>
    <col min="1" max="1" width="6.77734375" customWidth="1"/>
    <col min="2" max="2" width="12.77734375" customWidth="1"/>
    <col min="3" max="3" width="15.21875" bestFit="1" customWidth="1"/>
    <col min="4" max="4" width="20.33203125" customWidth="1"/>
    <col min="5" max="5" width="14.109375" customWidth="1"/>
    <col min="6" max="6" width="10.5546875" customWidth="1"/>
    <col min="7" max="7" width="11.6640625" bestFit="1" customWidth="1"/>
  </cols>
  <sheetData>
    <row r="1" spans="1:7" ht="27" x14ac:dyDescent="0.3">
      <c r="A1" s="9" t="s">
        <v>1</v>
      </c>
      <c r="B1" s="9"/>
      <c r="C1" s="9"/>
      <c r="D1" s="9"/>
      <c r="E1" s="9"/>
      <c r="F1" s="9"/>
      <c r="G1" s="9"/>
    </row>
    <row r="2" spans="1:7" ht="19.5" x14ac:dyDescent="0.3">
      <c r="A2" s="1"/>
      <c r="B2" s="1"/>
      <c r="C2" s="1"/>
      <c r="D2" s="2" t="s">
        <v>2</v>
      </c>
      <c r="E2" s="3">
        <v>0.1</v>
      </c>
      <c r="F2" s="1"/>
      <c r="G2" s="1"/>
    </row>
    <row r="3" spans="1:7" x14ac:dyDescent="0.3">
      <c r="A3" s="7" t="s">
        <v>0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8" t="s">
        <v>8</v>
      </c>
    </row>
    <row r="4" spans="1:7" hidden="1" x14ac:dyDescent="0.3">
      <c r="A4" s="5">
        <v>1</v>
      </c>
      <c r="B4" s="4" t="s">
        <v>9</v>
      </c>
      <c r="C4" s="5">
        <v>450</v>
      </c>
      <c r="D4" s="5">
        <v>1000</v>
      </c>
      <c r="E4" s="5">
        <f t="shared" ref="E4:E13" si="0">$D4*$C4</f>
        <v>450000</v>
      </c>
      <c r="F4" s="5">
        <f t="shared" ref="F4:F13" si="1">$E4*$E$2</f>
        <v>45000</v>
      </c>
      <c r="G4" s="5">
        <f t="shared" ref="G4:G13" si="2">$E4-$F4</f>
        <v>405000</v>
      </c>
    </row>
    <row r="5" spans="1:7" hidden="1" x14ac:dyDescent="0.3">
      <c r="A5" s="5">
        <v>3</v>
      </c>
      <c r="B5" s="4" t="s">
        <v>11</v>
      </c>
      <c r="C5" s="5">
        <v>800</v>
      </c>
      <c r="D5" s="5">
        <v>550</v>
      </c>
      <c r="E5" s="5">
        <f t="shared" si="0"/>
        <v>440000</v>
      </c>
      <c r="F5" s="5">
        <f t="shared" si="1"/>
        <v>44000</v>
      </c>
      <c r="G5" s="5">
        <f t="shared" si="2"/>
        <v>396000</v>
      </c>
    </row>
    <row r="6" spans="1:7" hidden="1" x14ac:dyDescent="0.3">
      <c r="A6" s="5">
        <v>2</v>
      </c>
      <c r="B6" s="4" t="s">
        <v>10</v>
      </c>
      <c r="C6" s="5">
        <v>250</v>
      </c>
      <c r="D6" s="5">
        <v>1550</v>
      </c>
      <c r="E6" s="5">
        <f t="shared" si="0"/>
        <v>387500</v>
      </c>
      <c r="F6" s="5">
        <f t="shared" si="1"/>
        <v>38750</v>
      </c>
      <c r="G6" s="5">
        <f t="shared" si="2"/>
        <v>348750</v>
      </c>
    </row>
    <row r="7" spans="1:7" hidden="1" x14ac:dyDescent="0.3">
      <c r="A7" s="5">
        <v>7</v>
      </c>
      <c r="B7" s="4" t="s">
        <v>15</v>
      </c>
      <c r="C7" s="5">
        <v>350</v>
      </c>
      <c r="D7" s="5">
        <v>700</v>
      </c>
      <c r="E7" s="5">
        <f t="shared" si="0"/>
        <v>245000</v>
      </c>
      <c r="F7" s="5">
        <f t="shared" si="1"/>
        <v>24500</v>
      </c>
      <c r="G7" s="5">
        <f t="shared" si="2"/>
        <v>220500</v>
      </c>
    </row>
    <row r="8" spans="1:7" hidden="1" x14ac:dyDescent="0.3">
      <c r="A8" s="5">
        <v>9</v>
      </c>
      <c r="B8" s="4" t="s">
        <v>17</v>
      </c>
      <c r="C8" s="5">
        <v>250</v>
      </c>
      <c r="D8" s="5">
        <v>950</v>
      </c>
      <c r="E8" s="5">
        <f t="shared" si="0"/>
        <v>237500</v>
      </c>
      <c r="F8" s="5">
        <f t="shared" si="1"/>
        <v>23750</v>
      </c>
      <c r="G8" s="5">
        <f t="shared" si="2"/>
        <v>213750</v>
      </c>
    </row>
    <row r="9" spans="1:7" hidden="1" x14ac:dyDescent="0.3">
      <c r="A9" s="5">
        <v>5</v>
      </c>
      <c r="B9" s="4" t="s">
        <v>13</v>
      </c>
      <c r="C9" s="5">
        <v>260</v>
      </c>
      <c r="D9" s="5">
        <v>780</v>
      </c>
      <c r="E9" s="5">
        <f t="shared" si="0"/>
        <v>202800</v>
      </c>
      <c r="F9" s="5">
        <f t="shared" si="1"/>
        <v>20280</v>
      </c>
      <c r="G9" s="5">
        <f t="shared" si="2"/>
        <v>182520</v>
      </c>
    </row>
    <row r="10" spans="1:7" hidden="1" x14ac:dyDescent="0.3">
      <c r="A10" s="5">
        <v>10</v>
      </c>
      <c r="B10" s="4" t="s">
        <v>18</v>
      </c>
      <c r="C10" s="5">
        <v>210</v>
      </c>
      <c r="D10" s="5">
        <v>900</v>
      </c>
      <c r="E10" s="5">
        <f t="shared" si="0"/>
        <v>189000</v>
      </c>
      <c r="F10" s="5">
        <f t="shared" si="1"/>
        <v>18900</v>
      </c>
      <c r="G10" s="5">
        <f t="shared" si="2"/>
        <v>170100</v>
      </c>
    </row>
    <row r="11" spans="1:7" hidden="1" x14ac:dyDescent="0.3">
      <c r="A11" s="5">
        <v>4</v>
      </c>
      <c r="B11" s="4" t="s">
        <v>12</v>
      </c>
      <c r="C11" s="5">
        <v>200</v>
      </c>
      <c r="D11" s="5">
        <v>800</v>
      </c>
      <c r="E11" s="5">
        <f t="shared" si="0"/>
        <v>160000</v>
      </c>
      <c r="F11" s="5">
        <f t="shared" si="1"/>
        <v>16000</v>
      </c>
      <c r="G11" s="5">
        <f t="shared" si="2"/>
        <v>144000</v>
      </c>
    </row>
    <row r="12" spans="1:7" hidden="1" x14ac:dyDescent="0.3">
      <c r="A12" s="5">
        <v>6</v>
      </c>
      <c r="B12" s="4" t="s">
        <v>14</v>
      </c>
      <c r="C12" s="5">
        <v>150</v>
      </c>
      <c r="D12" s="5">
        <v>900</v>
      </c>
      <c r="E12" s="5">
        <f t="shared" si="0"/>
        <v>135000</v>
      </c>
      <c r="F12" s="5">
        <f t="shared" si="1"/>
        <v>13500</v>
      </c>
      <c r="G12" s="5">
        <f t="shared" si="2"/>
        <v>121500</v>
      </c>
    </row>
    <row r="13" spans="1:7" x14ac:dyDescent="0.3">
      <c r="A13" s="5">
        <v>8</v>
      </c>
      <c r="B13" s="4" t="s">
        <v>16</v>
      </c>
      <c r="C13" s="5">
        <v>70</v>
      </c>
      <c r="D13" s="5">
        <v>1000</v>
      </c>
      <c r="E13" s="5">
        <f t="shared" si="0"/>
        <v>70000</v>
      </c>
      <c r="F13" s="5">
        <f t="shared" si="1"/>
        <v>7000</v>
      </c>
      <c r="G13" s="5">
        <f t="shared" si="2"/>
        <v>63000</v>
      </c>
    </row>
    <row r="14" spans="1:7" hidden="1" x14ac:dyDescent="0.3">
      <c r="A14" s="10" t="s">
        <v>19</v>
      </c>
      <c r="B14" s="10"/>
      <c r="C14" s="10"/>
      <c r="D14" s="6">
        <f>SUM(D4:D13)</f>
        <v>9130</v>
      </c>
      <c r="E14" s="6">
        <f t="shared" ref="E14:G14" si="3">SUM(E4:E13)</f>
        <v>2516800</v>
      </c>
      <c r="F14" s="6">
        <f t="shared" si="3"/>
        <v>251680</v>
      </c>
      <c r="G14" s="6">
        <f t="shared" si="3"/>
        <v>2265120</v>
      </c>
    </row>
  </sheetData>
  <autoFilter ref="A3:G14" xr:uid="{310EA4D6-03B5-4779-A26D-9B7E0B0881A9}">
    <filterColumn colId="2">
      <customFilters>
        <customFilter operator="lessThan" val="200"/>
      </customFilters>
    </filterColumn>
    <filterColumn colId="3">
      <customFilters>
        <customFilter operator="greaterThanOrEqual" val="1000"/>
      </customFilters>
    </filterColumn>
  </autoFilter>
  <mergeCells count="2">
    <mergeCell ref="A1:G1"/>
    <mergeCell ref="A14:C1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E473-3C5E-4600-B6A2-2AD9CB60F5C0}">
  <dimension ref="A1:G14"/>
  <sheetViews>
    <sheetView zoomScale="85" zoomScaleNormal="85" workbookViewId="0">
      <selection sqref="A1:G1"/>
    </sheetView>
  </sheetViews>
  <sheetFormatPr defaultRowHeight="18.75" x14ac:dyDescent="0.3"/>
  <cols>
    <col min="1" max="1" width="6.77734375" customWidth="1"/>
    <col min="2" max="2" width="12.77734375" customWidth="1"/>
    <col min="3" max="3" width="15.21875" bestFit="1" customWidth="1"/>
    <col min="4" max="4" width="20.33203125" customWidth="1"/>
    <col min="5" max="5" width="14.109375" customWidth="1"/>
    <col min="6" max="6" width="10.5546875" customWidth="1"/>
    <col min="7" max="7" width="11.6640625" bestFit="1" customWidth="1"/>
  </cols>
  <sheetData>
    <row r="1" spans="1:7" ht="27" x14ac:dyDescent="0.3">
      <c r="A1" s="9" t="s">
        <v>1</v>
      </c>
      <c r="B1" s="9"/>
      <c r="C1" s="9"/>
      <c r="D1" s="9"/>
      <c r="E1" s="9"/>
      <c r="F1" s="9"/>
      <c r="G1" s="9"/>
    </row>
    <row r="2" spans="1:7" ht="19.5" x14ac:dyDescent="0.3">
      <c r="A2" s="1"/>
      <c r="B2" s="1"/>
      <c r="C2" s="1"/>
      <c r="D2" s="2" t="s">
        <v>2</v>
      </c>
      <c r="E2" s="3">
        <v>0.1</v>
      </c>
      <c r="F2" s="1"/>
      <c r="G2" s="1"/>
    </row>
    <row r="3" spans="1:7" x14ac:dyDescent="0.3">
      <c r="A3" s="7" t="s">
        <v>0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8" t="s">
        <v>8</v>
      </c>
    </row>
    <row r="4" spans="1:7" x14ac:dyDescent="0.3">
      <c r="A4" s="5">
        <v>1</v>
      </c>
      <c r="B4" s="4" t="s">
        <v>9</v>
      </c>
      <c r="C4" s="5">
        <v>450</v>
      </c>
      <c r="D4" s="5">
        <v>1000</v>
      </c>
      <c r="E4" s="5">
        <f t="shared" ref="E4:E13" si="0">$D4*$C4</f>
        <v>450000</v>
      </c>
      <c r="F4" s="5">
        <f t="shared" ref="F4:F13" si="1">$E4*$E$2</f>
        <v>45000</v>
      </c>
      <c r="G4" s="5">
        <f t="shared" ref="G4:G13" si="2">$E4-$F4</f>
        <v>405000</v>
      </c>
    </row>
    <row r="5" spans="1:7" x14ac:dyDescent="0.3">
      <c r="A5" s="5">
        <v>3</v>
      </c>
      <c r="B5" s="4" t="s">
        <v>11</v>
      </c>
      <c r="C5" s="5">
        <v>800</v>
      </c>
      <c r="D5" s="5">
        <v>550</v>
      </c>
      <c r="E5" s="5">
        <f t="shared" si="0"/>
        <v>440000</v>
      </c>
      <c r="F5" s="5">
        <f t="shared" si="1"/>
        <v>44000</v>
      </c>
      <c r="G5" s="5">
        <f t="shared" si="2"/>
        <v>396000</v>
      </c>
    </row>
    <row r="6" spans="1:7" x14ac:dyDescent="0.3">
      <c r="A6" s="5">
        <v>2</v>
      </c>
      <c r="B6" s="4" t="s">
        <v>10</v>
      </c>
      <c r="C6" s="5">
        <v>250</v>
      </c>
      <c r="D6" s="5">
        <v>1550</v>
      </c>
      <c r="E6" s="5">
        <f t="shared" si="0"/>
        <v>387500</v>
      </c>
      <c r="F6" s="5">
        <f t="shared" si="1"/>
        <v>38750</v>
      </c>
      <c r="G6" s="5">
        <f t="shared" si="2"/>
        <v>348750</v>
      </c>
    </row>
    <row r="7" spans="1:7" x14ac:dyDescent="0.3">
      <c r="A7" s="5">
        <v>7</v>
      </c>
      <c r="B7" s="4" t="s">
        <v>15</v>
      </c>
      <c r="C7" s="5">
        <v>350</v>
      </c>
      <c r="D7" s="5">
        <v>700</v>
      </c>
      <c r="E7" s="5">
        <f t="shared" si="0"/>
        <v>245000</v>
      </c>
      <c r="F7" s="5">
        <f t="shared" si="1"/>
        <v>24500</v>
      </c>
      <c r="G7" s="5">
        <f t="shared" si="2"/>
        <v>220500</v>
      </c>
    </row>
    <row r="8" spans="1:7" x14ac:dyDescent="0.3">
      <c r="A8" s="5">
        <v>9</v>
      </c>
      <c r="B8" s="4" t="s">
        <v>17</v>
      </c>
      <c r="C8" s="5">
        <v>250</v>
      </c>
      <c r="D8" s="5">
        <v>950</v>
      </c>
      <c r="E8" s="5">
        <f t="shared" si="0"/>
        <v>237500</v>
      </c>
      <c r="F8" s="5">
        <f t="shared" si="1"/>
        <v>23750</v>
      </c>
      <c r="G8" s="5">
        <f t="shared" si="2"/>
        <v>213750</v>
      </c>
    </row>
    <row r="9" spans="1:7" x14ac:dyDescent="0.3">
      <c r="A9" s="5">
        <v>5</v>
      </c>
      <c r="B9" s="4" t="s">
        <v>13</v>
      </c>
      <c r="C9" s="5">
        <v>260</v>
      </c>
      <c r="D9" s="5">
        <v>780</v>
      </c>
      <c r="E9" s="5">
        <f t="shared" si="0"/>
        <v>202800</v>
      </c>
      <c r="F9" s="5">
        <f t="shared" si="1"/>
        <v>20280</v>
      </c>
      <c r="G9" s="5">
        <f t="shared" si="2"/>
        <v>182520</v>
      </c>
    </row>
    <row r="10" spans="1:7" x14ac:dyDescent="0.3">
      <c r="A10" s="5">
        <v>10</v>
      </c>
      <c r="B10" s="4" t="s">
        <v>18</v>
      </c>
      <c r="C10" s="5">
        <v>210</v>
      </c>
      <c r="D10" s="5">
        <v>900</v>
      </c>
      <c r="E10" s="5">
        <f t="shared" si="0"/>
        <v>189000</v>
      </c>
      <c r="F10" s="5">
        <f t="shared" si="1"/>
        <v>18900</v>
      </c>
      <c r="G10" s="5">
        <f t="shared" si="2"/>
        <v>170100</v>
      </c>
    </row>
    <row r="11" spans="1:7" x14ac:dyDescent="0.3">
      <c r="A11" s="5">
        <v>4</v>
      </c>
      <c r="B11" s="4" t="s">
        <v>12</v>
      </c>
      <c r="C11" s="5">
        <v>200</v>
      </c>
      <c r="D11" s="5">
        <v>800</v>
      </c>
      <c r="E11" s="5">
        <f t="shared" si="0"/>
        <v>160000</v>
      </c>
      <c r="F11" s="5">
        <f t="shared" si="1"/>
        <v>16000</v>
      </c>
      <c r="G11" s="5">
        <f t="shared" si="2"/>
        <v>144000</v>
      </c>
    </row>
    <row r="12" spans="1:7" x14ac:dyDescent="0.3">
      <c r="A12" s="5">
        <v>6</v>
      </c>
      <c r="B12" s="4" t="s">
        <v>14</v>
      </c>
      <c r="C12" s="5">
        <v>150</v>
      </c>
      <c r="D12" s="5">
        <v>900</v>
      </c>
      <c r="E12" s="5">
        <f t="shared" si="0"/>
        <v>135000</v>
      </c>
      <c r="F12" s="5">
        <f t="shared" si="1"/>
        <v>13500</v>
      </c>
      <c r="G12" s="5">
        <f t="shared" si="2"/>
        <v>121500</v>
      </c>
    </row>
    <row r="13" spans="1:7" x14ac:dyDescent="0.3">
      <c r="A13" s="5">
        <v>8</v>
      </c>
      <c r="B13" s="4" t="s">
        <v>16</v>
      </c>
      <c r="C13" s="5">
        <v>70</v>
      </c>
      <c r="D13" s="5">
        <v>1000</v>
      </c>
      <c r="E13" s="5">
        <f t="shared" si="0"/>
        <v>70000</v>
      </c>
      <c r="F13" s="5">
        <f t="shared" si="1"/>
        <v>7000</v>
      </c>
      <c r="G13" s="5">
        <f t="shared" si="2"/>
        <v>63000</v>
      </c>
    </row>
    <row r="14" spans="1:7" x14ac:dyDescent="0.3">
      <c r="A14" s="10" t="s">
        <v>19</v>
      </c>
      <c r="B14" s="10"/>
      <c r="C14" s="10"/>
      <c r="D14" s="6">
        <f>SUM(D4:D13)</f>
        <v>9130</v>
      </c>
      <c r="E14" s="6">
        <f t="shared" ref="E14:G14" si="3">SUM(E4:E13)</f>
        <v>2516800</v>
      </c>
      <c r="F14" s="6">
        <f t="shared" si="3"/>
        <v>251680</v>
      </c>
      <c r="G14" s="6">
        <f t="shared" si="3"/>
        <v>2265120</v>
      </c>
    </row>
  </sheetData>
  <mergeCells count="2">
    <mergeCell ref="A1:G1"/>
    <mergeCell ref="A14:C14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0DEB8B-1160-4347-8185-FBC46032FD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Câu 1 - 6</vt:lpstr>
      <vt:lpstr>Câu 7 - 8</vt:lpstr>
      <vt:lpstr>Câu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XNLĐ Cao The Ben Tre 09</dc:creator>
  <cp:lastModifiedBy>XNLĐ Cao The Ben Tre 09</cp:lastModifiedBy>
  <dcterms:created xsi:type="dcterms:W3CDTF">2025-12-12T14:57:14Z</dcterms:created>
  <dcterms:modified xsi:type="dcterms:W3CDTF">2025-12-17T15:33:59Z</dcterms:modified>
</cp:coreProperties>
</file>